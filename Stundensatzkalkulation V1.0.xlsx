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joseffischer/Library/CloudStorage/Dropbox/Apps/Claude/Stundensatzkalkulation/"/>
    </mc:Choice>
  </mc:AlternateContent>
  <xr:revisionPtr revIDLastSave="0" documentId="13_ncr:1_{02D3BE6D-2860-1748-B4E0-F614CD1ACAEC}" xr6:coauthVersionLast="47" xr6:coauthVersionMax="47" xr10:uidLastSave="{00000000-0000-0000-0000-000000000000}"/>
  <bookViews>
    <workbookView xWindow="1040" yWindow="660" windowWidth="28360" windowHeight="18460" activeTab="3" xr2:uid="{00000000-000D-0000-FFFF-FFFF00000000}"/>
  </bookViews>
  <sheets>
    <sheet name="hrs calc" sheetId="7" r:id="rId1"/>
    <sheet name="Salary--&gt;Bill Rate" sheetId="3" r:id="rId2"/>
    <sheet name="Salary--&gt;CM%" sheetId="6" r:id="rId3"/>
    <sheet name="Bill-Rate--&gt;Salary" sheetId="5" r:id="rId4"/>
    <sheet name="Work Package" sheetId="1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5" l="1"/>
  <c r="I2" i="5"/>
  <c r="G3" i="3"/>
  <c r="E3" i="3"/>
  <c r="B2" i="6" l="1"/>
  <c r="K2" i="5" l="1"/>
  <c r="B3" i="7"/>
  <c r="A4" i="7" s="1"/>
  <c r="A5" i="7" s="1"/>
  <c r="A6" i="7" s="1"/>
  <c r="C12" i="1" l="1"/>
  <c r="D12" i="1" s="1"/>
  <c r="E12" i="1" s="1"/>
  <c r="F12" i="1" s="1"/>
  <c r="G12" i="1" s="1"/>
  <c r="H12" i="1" s="1"/>
  <c r="I12" i="1" s="1"/>
  <c r="C3" i="6" l="1"/>
  <c r="D3" i="6" s="1"/>
  <c r="E3" i="6" l="1"/>
  <c r="G3" i="6" s="1"/>
  <c r="L2" i="5" l="1"/>
  <c r="C3" i="3" l="1"/>
  <c r="D3" i="3" s="1"/>
  <c r="C4" i="1" l="1"/>
  <c r="D4" i="1" s="1"/>
  <c r="E4" i="1" s="1"/>
  <c r="F4" i="1" s="1"/>
  <c r="C5" i="1"/>
  <c r="D5" i="1" s="1"/>
  <c r="E5" i="1" s="1"/>
  <c r="F5" i="1" s="1"/>
  <c r="C3" i="1"/>
  <c r="D3" i="1" s="1"/>
  <c r="E3" i="1" s="1"/>
  <c r="F3" i="1" s="1"/>
  <c r="C19" i="1"/>
  <c r="D19" i="1" s="1"/>
  <c r="E19" i="1" s="1"/>
  <c r="F19" i="1" s="1"/>
  <c r="G19" i="1" s="1"/>
  <c r="H19" i="1" s="1"/>
  <c r="I19" i="1" s="1"/>
  <c r="I17" i="1"/>
  <c r="C17" i="1"/>
  <c r="D17" i="1"/>
  <c r="E17" i="1"/>
  <c r="F17" i="1"/>
  <c r="G17" i="1"/>
  <c r="H17" i="1"/>
  <c r="B17" i="1"/>
  <c r="F18" i="1" l="1"/>
  <c r="F20" i="1" s="1"/>
  <c r="B18" i="1"/>
  <c r="B20" i="1" s="1"/>
  <c r="C18" i="1"/>
  <c r="C20" i="1" s="1"/>
  <c r="G18" i="1"/>
  <c r="G20" i="1" s="1"/>
  <c r="D18" i="1"/>
  <c r="D20" i="1" s="1"/>
  <c r="H18" i="1"/>
  <c r="H20" i="1" s="1"/>
  <c r="E18" i="1"/>
  <c r="E20" i="1" s="1"/>
  <c r="I18" i="1"/>
  <c r="I20" i="1" s="1"/>
  <c r="B22" i="1" l="1"/>
  <c r="B23" i="1" s="1"/>
  <c r="C28" i="1" l="1"/>
  <c r="D28" i="1"/>
  <c r="E28" i="1"/>
  <c r="B28" i="1"/>
</calcChain>
</file>

<file path=xl/sharedStrings.xml><?xml version="1.0" encoding="utf-8"?>
<sst xmlns="http://schemas.openxmlformats.org/spreadsheetml/2006/main" count="77" uniqueCount="65">
  <si>
    <t>agreed calculation (Balaji, 08.02.23):</t>
  </si>
  <si>
    <t>Weekend days</t>
  </si>
  <si>
    <t>AR%</t>
  </si>
  <si>
    <t>(Average over 5 years is only 76% AR% !!)</t>
  </si>
  <si>
    <t>hrs</t>
  </si>
  <si>
    <t>8 h at 40hweek, 7h at 35hweek</t>
  </si>
  <si>
    <t>working hrs / year</t>
  </si>
  <si>
    <t>35h Woche</t>
  </si>
  <si>
    <t>1407 h</t>
  </si>
  <si>
    <t>40h Woche</t>
  </si>
  <si>
    <t>1608 h</t>
  </si>
  <si>
    <t>Hourly Rate Calculation</t>
  </si>
  <si>
    <t>Salaries</t>
  </si>
  <si>
    <t>Non-wage 
labor costs</t>
  </si>
  <si>
    <t>Overhead 
(Meetings, etc.)</t>
  </si>
  <si>
    <t>CM%</t>
  </si>
  <si>
    <t>Hours</t>
  </si>
  <si>
    <t>Calculated 
Hourly Bill Rate</t>
  </si>
  <si>
    <t>Angebot an Kunde</t>
  </si>
  <si>
    <t>Datum Angebot</t>
  </si>
  <si>
    <t>Verhadelt und zugestimmt</t>
  </si>
  <si>
    <t>Datum verhandelt</t>
  </si>
  <si>
    <t>Test Management  (AP 1)</t>
  </si>
  <si>
    <t>Munich Area, 3-4 Years averag, engl.</t>
  </si>
  <si>
    <t>CM% Calculation</t>
  </si>
  <si>
    <t>Salaries / year</t>
  </si>
  <si>
    <t>Hours / Costs 
(1407 @35h / 
1608 @40h)</t>
  </si>
  <si>
    <t>Bill Rate @Customer</t>
  </si>
  <si>
    <t>Remarks</t>
  </si>
  <si>
    <t>Name, Vorname</t>
  </si>
  <si>
    <t>Conversion from hourly rate to salary</t>
  </si>
  <si>
    <t>Bill Rate 
Euro</t>
  </si>
  <si>
    <t>Bill Rate
USD</t>
  </si>
  <si>
    <t>CM%
min</t>
  </si>
  <si>
    <t>CM%
max</t>
  </si>
  <si>
    <t>Hours
(1407 @35h / 
1608 @40h)</t>
  </si>
  <si>
    <t>USD / EUR</t>
  </si>
  <si>
    <t>Minimum Salary</t>
  </si>
  <si>
    <t>Maximum Salary</t>
  </si>
  <si>
    <t>Minimum Salary monthly</t>
  </si>
  <si>
    <t>Maximum Salary
monthly</t>
  </si>
  <si>
    <t>EUR</t>
  </si>
  <si>
    <t>Average Salary HCC Project Leader</t>
  </si>
  <si>
    <t>Average Salary HCC Specialist</t>
  </si>
  <si>
    <t>Average Salary HCC Junior</t>
  </si>
  <si>
    <t>Hourly Rate BCC</t>
  </si>
  <si>
    <t>Complete Hours</t>
  </si>
  <si>
    <t>Inflation per Year</t>
  </si>
  <si>
    <t>Runtime Years</t>
  </si>
  <si>
    <t>Year</t>
  </si>
  <si>
    <t>FTE HCC Project Leader</t>
  </si>
  <si>
    <t>FTE HCC Specialist</t>
  </si>
  <si>
    <t>FTE HCC Junior</t>
  </si>
  <si>
    <t>FTE BCC Romania</t>
  </si>
  <si>
    <t>Number FTE</t>
  </si>
  <si>
    <t>Hourly Rate in Year</t>
  </si>
  <si>
    <t>Inflation</t>
  </si>
  <si>
    <t>Hourly Rate incl. Inflation</t>
  </si>
  <si>
    <t>Mixed hourly rate</t>
  </si>
  <si>
    <t>Offer value</t>
  </si>
  <si>
    <t>Offer / Round</t>
  </si>
  <si>
    <t xml:space="preserve">submission date </t>
  </si>
  <si>
    <t>Bid amount submitted</t>
  </si>
  <si>
    <t>Discount to offer value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</si>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</sst>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#,##0\ &quot;€&quot;;[Red]\-#,##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d/m/yy;@"/>
    <numFmt numFmtId="167" formatCode="0.0%"/>
    <numFmt numFmtId="168" formatCode="_-[$$-409]* #,##0.00_ ;_-[$$-409]* \-#,##0.00\ ;_-[$$-409]* &quot;-&quot;??_ ;_-@_ "/>
    <numFmt numFmtId="169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7" borderId="0" applyNumberFormat="0" applyBorder="0" applyAlignment="0" applyProtection="0"/>
    <xf numFmtId="165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44" fontId="2" fillId="2" borderId="0" xfId="0" applyNumberFormat="1" applyFont="1" applyFill="1"/>
    <xf numFmtId="44" fontId="2" fillId="2" borderId="0" xfId="2" applyFont="1" applyFill="1"/>
    <xf numFmtId="44" fontId="0" fillId="3" borderId="3" xfId="2" applyFont="1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4" borderId="0" xfId="2" applyFont="1" applyFill="1"/>
    <xf numFmtId="44" fontId="0" fillId="4" borderId="0" xfId="0" applyNumberFormat="1" applyFill="1" applyAlignment="1">
      <alignment horizontal="center"/>
    </xf>
    <xf numFmtId="44" fontId="0" fillId="4" borderId="0" xfId="2" applyFont="1" applyFill="1" applyAlignment="1">
      <alignment horizontal="center"/>
    </xf>
    <xf numFmtId="0" fontId="0" fillId="4" borderId="0" xfId="0" applyFill="1"/>
    <xf numFmtId="44" fontId="0" fillId="3" borderId="2" xfId="2" applyFont="1" applyFill="1" applyBorder="1"/>
    <xf numFmtId="10" fontId="0" fillId="3" borderId="2" xfId="0" applyNumberFormat="1" applyFill="1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0" fillId="3" borderId="2" xfId="0" applyFill="1" applyBorder="1"/>
    <xf numFmtId="167" fontId="0" fillId="3" borderId="2" xfId="0" applyNumberFormat="1" applyFill="1" applyBorder="1"/>
    <xf numFmtId="0" fontId="2" fillId="4" borderId="1" xfId="0" applyFont="1" applyFill="1" applyBorder="1"/>
    <xf numFmtId="0" fontId="2" fillId="4" borderId="0" xfId="0" applyFont="1" applyFill="1" applyAlignment="1">
      <alignment horizontal="center"/>
    </xf>
    <xf numFmtId="0" fontId="2" fillId="4" borderId="0" xfId="1" applyNumberFormat="1" applyFont="1" applyFill="1" applyAlignment="1">
      <alignment horizontal="center"/>
    </xf>
    <xf numFmtId="10" fontId="2" fillId="4" borderId="0" xfId="0" applyNumberFormat="1" applyFont="1" applyFill="1" applyAlignment="1">
      <alignment horizontal="center"/>
    </xf>
    <xf numFmtId="44" fontId="0" fillId="4" borderId="1" xfId="2" applyFont="1" applyFill="1" applyBorder="1" applyAlignment="1">
      <alignment horizontal="center"/>
    </xf>
    <xf numFmtId="44" fontId="2" fillId="4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44" fontId="2" fillId="4" borderId="0" xfId="2" applyFont="1" applyFill="1" applyAlignment="1">
      <alignment horizontal="center" vertical="center" wrapText="1"/>
    </xf>
    <xf numFmtId="44" fontId="0" fillId="0" borderId="0" xfId="2" applyFont="1"/>
    <xf numFmtId="10" fontId="0" fillId="4" borderId="0" xfId="3" applyNumberFormat="1" applyFont="1" applyFill="1"/>
    <xf numFmtId="166" fontId="0" fillId="4" borderId="2" xfId="0" applyNumberFormat="1" applyFill="1" applyBorder="1"/>
    <xf numFmtId="44" fontId="2" fillId="2" borderId="0" xfId="2" applyFont="1" applyFill="1" applyAlignment="1">
      <alignment horizontal="center"/>
    </xf>
    <xf numFmtId="0" fontId="2" fillId="2" borderId="0" xfId="0" applyFont="1" applyFill="1"/>
    <xf numFmtId="0" fontId="3" fillId="4" borderId="0" xfId="0" applyFont="1" applyFill="1" applyAlignment="1">
      <alignment horizontal="center" vertical="center" wrapText="1"/>
    </xf>
    <xf numFmtId="44" fontId="0" fillId="3" borderId="2" xfId="2" applyFont="1" applyFill="1" applyBorder="1" applyAlignment="1">
      <alignment horizontal="center"/>
    </xf>
    <xf numFmtId="9" fontId="0" fillId="2" borderId="2" xfId="0" applyNumberFormat="1" applyFill="1" applyBorder="1" applyAlignment="1">
      <alignment horizontal="center"/>
    </xf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0" fontId="2" fillId="5" borderId="0" xfId="0" applyFont="1" applyFill="1"/>
    <xf numFmtId="0" fontId="0" fillId="5" borderId="0" xfId="0" applyFill="1"/>
    <xf numFmtId="6" fontId="0" fillId="3" borderId="2" xfId="0" applyNumberFormat="1" applyFill="1" applyBorder="1" applyAlignment="1">
      <alignment horizontal="center"/>
    </xf>
    <xf numFmtId="168" fontId="0" fillId="3" borderId="2" xfId="0" applyNumberFormat="1" applyFill="1" applyBorder="1" applyAlignment="1">
      <alignment horizontal="center"/>
    </xf>
    <xf numFmtId="169" fontId="2" fillId="4" borderId="2" xfId="2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0" fontId="0" fillId="0" borderId="2" xfId="0" applyNumberFormat="1" applyBorder="1" applyAlignment="1">
      <alignment horizontal="center"/>
    </xf>
    <xf numFmtId="10" fontId="0" fillId="4" borderId="2" xfId="0" applyNumberFormat="1" applyFill="1" applyBorder="1" applyAlignment="1">
      <alignment horizontal="center"/>
    </xf>
    <xf numFmtId="167" fontId="0" fillId="4" borderId="2" xfId="0" applyNumberFormat="1" applyFill="1" applyBorder="1" applyAlignment="1">
      <alignment horizontal="center"/>
    </xf>
    <xf numFmtId="44" fontId="0" fillId="4" borderId="2" xfId="0" applyNumberFormat="1" applyFill="1" applyBorder="1" applyAlignment="1">
      <alignment horizontal="center"/>
    </xf>
    <xf numFmtId="44" fontId="0" fillId="4" borderId="2" xfId="2" applyFont="1" applyFill="1" applyBorder="1" applyAlignment="1">
      <alignment horizontal="center"/>
    </xf>
    <xf numFmtId="44" fontId="1" fillId="4" borderId="2" xfId="2" applyFont="1" applyFill="1" applyBorder="1" applyAlignment="1">
      <alignment horizontal="center"/>
    </xf>
    <xf numFmtId="9" fontId="0" fillId="3" borderId="0" xfId="0" applyNumberFormat="1" applyFill="1"/>
    <xf numFmtId="0" fontId="0" fillId="3" borderId="0" xfId="0" applyFill="1"/>
    <xf numFmtId="0" fontId="2" fillId="6" borderId="0" xfId="0" applyFont="1" applyFill="1"/>
    <xf numFmtId="43" fontId="0" fillId="3" borderId="2" xfId="1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2" borderId="9" xfId="0" applyFont="1" applyFill="1" applyBorder="1"/>
    <xf numFmtId="0" fontId="0" fillId="0" borderId="0" xfId="0" applyAlignment="1">
      <alignment horizontal="center"/>
    </xf>
    <xf numFmtId="44" fontId="0" fillId="4" borderId="0" xfId="0" applyNumberFormat="1" applyFill="1"/>
    <xf numFmtId="164" fontId="0" fillId="0" borderId="0" xfId="0" applyNumberFormat="1"/>
  </cellXfs>
  <cellStyles count="6">
    <cellStyle name="60% - Accent1 2" xfId="4" xr:uid="{A9C58DE8-6F7D-43F3-A1AC-7DBB6010F6AD}"/>
    <cellStyle name="Comma 2" xfId="5" xr:uid="{00E99FE5-24FD-4A6D-8772-F0515CAC006B}"/>
    <cellStyle name="Komma" xfId="1" builtinId="3"/>
    <cellStyle name="Prozent" xfId="3" builtinId="5"/>
    <cellStyle name="Standard" xfId="0" builtinId="0"/>
    <cellStyle name="Währung" xfId="2" builtin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39AA8-0CF1-4D9D-8F17-2F8D81221834}">
  <dimension ref="A2:D9"/>
  <sheetViews>
    <sheetView workbookViewId="0">
      <selection activeCell="E9" sqref="E9"/>
    </sheetView>
  </sheetViews>
  <sheetFormatPr baseColWidth="10" defaultColWidth="8.6640625" defaultRowHeight="15" x14ac:dyDescent="0.2"/>
  <cols>
    <col min="3" max="3" width="11.5" customWidth="1"/>
  </cols>
  <sheetData>
    <row r="2" spans="1:4" x14ac:dyDescent="0.2">
      <c r="A2" s="38" t="s">
        <v>0</v>
      </c>
      <c r="B2" s="39"/>
      <c r="C2" s="39"/>
      <c r="D2" s="39"/>
    </row>
    <row r="3" spans="1:4" x14ac:dyDescent="0.2">
      <c r="A3">
        <v>365</v>
      </c>
      <c r="B3">
        <f>52*2</f>
        <v>104</v>
      </c>
      <c r="C3" t="s">
        <v>1</v>
      </c>
    </row>
    <row r="4" spans="1:4" x14ac:dyDescent="0.2">
      <c r="A4">
        <f>365-B3</f>
        <v>261</v>
      </c>
      <c r="B4" s="50">
        <v>0.77</v>
      </c>
      <c r="C4" t="s">
        <v>2</v>
      </c>
      <c r="D4" t="s">
        <v>3</v>
      </c>
    </row>
    <row r="5" spans="1:4" x14ac:dyDescent="0.2">
      <c r="A5">
        <f>A4*B4</f>
        <v>200.97</v>
      </c>
      <c r="B5" s="51">
        <v>8</v>
      </c>
      <c r="C5" t="s">
        <v>4</v>
      </c>
      <c r="D5" t="s">
        <v>5</v>
      </c>
    </row>
    <row r="6" spans="1:4" x14ac:dyDescent="0.2">
      <c r="A6" s="52">
        <f>A5*B5</f>
        <v>1607.76</v>
      </c>
      <c r="C6" t="s">
        <v>6</v>
      </c>
    </row>
    <row r="7" spans="1:4" ht="16" thickBot="1" x14ac:dyDescent="0.25"/>
    <row r="8" spans="1:4" ht="24" x14ac:dyDescent="0.3">
      <c r="A8" s="54" t="s">
        <v>7</v>
      </c>
      <c r="B8" s="55"/>
      <c r="C8" s="56" t="s">
        <v>8</v>
      </c>
    </row>
    <row r="9" spans="1:4" ht="25" thickBot="1" x14ac:dyDescent="0.35">
      <c r="A9" s="57" t="s">
        <v>9</v>
      </c>
      <c r="B9" s="58"/>
      <c r="C9" s="59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="145" zoomScaleNormal="145" workbookViewId="0">
      <selection activeCell="A23" sqref="A23"/>
    </sheetView>
  </sheetViews>
  <sheetFormatPr baseColWidth="10" defaultColWidth="11.5" defaultRowHeight="15" outlineLevelRow="1" x14ac:dyDescent="0.2"/>
  <cols>
    <col min="1" max="1" width="33" customWidth="1"/>
    <col min="2" max="4" width="13.5" bestFit="1" customWidth="1"/>
    <col min="5" max="5" width="14.5" customWidth="1"/>
    <col min="6" max="6" width="13" bestFit="1" customWidth="1"/>
    <col min="7" max="7" width="14.5" bestFit="1" customWidth="1"/>
    <col min="8" max="8" width="14.5" style="28" customWidth="1"/>
    <col min="10" max="10" width="11.5" style="28"/>
  </cols>
  <sheetData>
    <row r="1" spans="1:11" ht="48" x14ac:dyDescent="0.2">
      <c r="A1" s="33" t="s">
        <v>11</v>
      </c>
      <c r="B1" s="16" t="s">
        <v>12</v>
      </c>
      <c r="C1" s="17" t="s">
        <v>13</v>
      </c>
      <c r="D1" s="17" t="s">
        <v>14</v>
      </c>
      <c r="E1" s="16" t="s">
        <v>15</v>
      </c>
      <c r="F1" s="17" t="s">
        <v>16</v>
      </c>
      <c r="G1" s="17" t="s">
        <v>17</v>
      </c>
      <c r="H1" s="27" t="s">
        <v>18</v>
      </c>
      <c r="I1" s="17" t="s">
        <v>19</v>
      </c>
      <c r="J1" s="27" t="s">
        <v>20</v>
      </c>
      <c r="K1" s="17" t="s">
        <v>21</v>
      </c>
    </row>
    <row r="2" spans="1:11" outlineLevel="1" x14ac:dyDescent="0.2">
      <c r="A2" s="32" t="s">
        <v>22</v>
      </c>
      <c r="C2" s="12">
        <v>0.215</v>
      </c>
      <c r="D2" s="13">
        <v>0</v>
      </c>
      <c r="E2" s="13">
        <v>0.25</v>
      </c>
      <c r="F2" s="43">
        <v>1608</v>
      </c>
      <c r="G2" s="60"/>
      <c r="H2" s="7"/>
      <c r="I2" s="10"/>
      <c r="J2" s="7"/>
      <c r="K2" s="10"/>
    </row>
    <row r="3" spans="1:11" outlineLevel="1" x14ac:dyDescent="0.2">
      <c r="A3" t="s">
        <v>23</v>
      </c>
      <c r="B3" s="11">
        <v>75000</v>
      </c>
      <c r="C3" s="8">
        <f>B3*(1+C2)</f>
        <v>91125</v>
      </c>
      <c r="D3" s="9">
        <f>C3*(1+D2)</f>
        <v>91125</v>
      </c>
      <c r="E3" s="9">
        <f>D3/(1-E2)</f>
        <v>121500</v>
      </c>
      <c r="G3" s="31">
        <f>ROUND(E3/F2,2)</f>
        <v>75.56</v>
      </c>
      <c r="H3" s="7"/>
      <c r="I3" s="10"/>
      <c r="J3" s="7"/>
      <c r="K3" s="10"/>
    </row>
    <row r="4" spans="1:11" x14ac:dyDescent="0.2">
      <c r="A4" s="15"/>
      <c r="B4" s="15"/>
      <c r="C4" s="8"/>
      <c r="D4" s="9"/>
      <c r="E4" s="9"/>
      <c r="F4" s="25"/>
      <c r="G4" s="25"/>
      <c r="H4" s="7"/>
      <c r="I4" s="10"/>
      <c r="J4" s="7"/>
      <c r="K4" s="10"/>
    </row>
    <row r="5" spans="1:11" outlineLevel="1" x14ac:dyDescent="0.2">
      <c r="H5"/>
      <c r="J5"/>
    </row>
    <row r="6" spans="1:11" outlineLevel="1" x14ac:dyDescent="0.2">
      <c r="H6"/>
      <c r="J6"/>
    </row>
    <row r="7" spans="1:11" x14ac:dyDescent="0.2">
      <c r="H7"/>
      <c r="J7"/>
    </row>
    <row r="8" spans="1:11" outlineLevel="1" x14ac:dyDescent="0.2">
      <c r="H8"/>
      <c r="J8"/>
    </row>
    <row r="9" spans="1:11" outlineLevel="1" x14ac:dyDescent="0.2">
      <c r="H9"/>
      <c r="J9"/>
    </row>
    <row r="10" spans="1:11" x14ac:dyDescent="0.2">
      <c r="H10"/>
      <c r="J10"/>
    </row>
    <row r="11" spans="1:11" x14ac:dyDescent="0.2">
      <c r="H11"/>
      <c r="J11"/>
    </row>
    <row r="12" spans="1:11" x14ac:dyDescent="0.2">
      <c r="H12"/>
      <c r="J12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1751-04B8-40C9-B2A0-903FA5E3CBD3}">
  <dimension ref="A1:H14"/>
  <sheetViews>
    <sheetView zoomScale="130" zoomScaleNormal="130" workbookViewId="0">
      <selection activeCell="J5" sqref="A5:J12"/>
    </sheetView>
  </sheetViews>
  <sheetFormatPr baseColWidth="10" defaultColWidth="8.6640625" defaultRowHeight="15" x14ac:dyDescent="0.2"/>
  <cols>
    <col min="1" max="1" width="27" customWidth="1"/>
    <col min="2" max="2" width="13.5" customWidth="1"/>
    <col min="3" max="4" width="12.5" bestFit="1" customWidth="1"/>
    <col min="5" max="5" width="17.1640625" customWidth="1"/>
    <col min="6" max="6" width="13.5" customWidth="1"/>
    <col min="7" max="7" width="10.83203125" customWidth="1"/>
    <col min="8" max="8" width="44.1640625" customWidth="1"/>
  </cols>
  <sheetData>
    <row r="1" spans="1:8" ht="48" x14ac:dyDescent="0.2">
      <c r="A1" s="33" t="s">
        <v>24</v>
      </c>
      <c r="B1" s="16" t="s">
        <v>25</v>
      </c>
      <c r="C1" s="17" t="s">
        <v>13</v>
      </c>
      <c r="D1" s="17" t="s">
        <v>14</v>
      </c>
      <c r="E1" s="17" t="s">
        <v>26</v>
      </c>
      <c r="F1" s="17" t="s">
        <v>27</v>
      </c>
      <c r="G1" s="17" t="s">
        <v>15</v>
      </c>
      <c r="H1" s="17" t="s">
        <v>28</v>
      </c>
    </row>
    <row r="2" spans="1:8" x14ac:dyDescent="0.2">
      <c r="A2" s="32" t="s">
        <v>29</v>
      </c>
      <c r="B2" s="11">
        <f>3866*12</f>
        <v>46392</v>
      </c>
      <c r="C2" s="45">
        <v>0.215</v>
      </c>
      <c r="D2" s="13">
        <v>0</v>
      </c>
      <c r="E2" s="43">
        <v>1407</v>
      </c>
      <c r="F2" s="34">
        <v>45.83</v>
      </c>
      <c r="H2" s="36"/>
    </row>
    <row r="3" spans="1:8" x14ac:dyDescent="0.2">
      <c r="A3" s="10"/>
      <c r="B3" s="10"/>
      <c r="C3" s="47">
        <f>B2*(1+C2)</f>
        <v>56366.280000000006</v>
      </c>
      <c r="D3" s="48">
        <f>C3*(1+D2)</f>
        <v>56366.280000000006</v>
      </c>
      <c r="E3" s="49">
        <f>ROUND(D3/E2,2)</f>
        <v>40.06</v>
      </c>
      <c r="F3" s="48"/>
      <c r="G3" s="35">
        <f>1-E3/F2</f>
        <v>0.1259000654593061</v>
      </c>
      <c r="H3" s="10"/>
    </row>
    <row r="4" spans="1:8" ht="6" customHeight="1" x14ac:dyDescent="0.2">
      <c r="A4" s="10"/>
      <c r="B4" s="10"/>
      <c r="C4" s="10"/>
      <c r="D4" s="10"/>
      <c r="E4" s="10"/>
      <c r="F4" s="10"/>
      <c r="G4" s="10"/>
      <c r="H4" s="10"/>
    </row>
    <row r="7" spans="1:8" ht="6" customHeight="1" x14ac:dyDescent="0.2"/>
    <row r="10" spans="1:8" ht="6" customHeight="1" x14ac:dyDescent="0.2"/>
    <row r="14" spans="1:8" x14ac:dyDescent="0.2">
      <c r="D14" s="6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5F282-AFD0-47F7-8A31-F6024C5B2AC5}">
  <dimension ref="A1:M5"/>
  <sheetViews>
    <sheetView tabSelected="1" zoomScale="120" zoomScaleNormal="120" workbookViewId="0">
      <selection activeCell="I4" sqref="I4"/>
    </sheetView>
  </sheetViews>
  <sheetFormatPr baseColWidth="10" defaultColWidth="8.6640625" defaultRowHeight="15" x14ac:dyDescent="0.2"/>
  <cols>
    <col min="1" max="1" width="28.1640625" customWidth="1"/>
    <col min="2" max="3" width="8.5" bestFit="1" customWidth="1"/>
    <col min="4" max="4" width="10.5" bestFit="1" customWidth="1"/>
    <col min="5" max="6" width="5.5" bestFit="1" customWidth="1"/>
    <col min="7" max="7" width="19.5" customWidth="1"/>
    <col min="8" max="8" width="10.5" customWidth="1"/>
    <col min="9" max="9" width="14.83203125" customWidth="1"/>
    <col min="10" max="10" width="15.1640625" customWidth="1"/>
    <col min="11" max="11" width="17" bestFit="1" customWidth="1"/>
    <col min="12" max="12" width="16" bestFit="1" customWidth="1"/>
  </cols>
  <sheetData>
    <row r="1" spans="1:13" ht="48" x14ac:dyDescent="0.2">
      <c r="A1" s="33" t="s">
        <v>30</v>
      </c>
      <c r="B1" s="17" t="s">
        <v>31</v>
      </c>
      <c r="C1" s="17" t="s">
        <v>32</v>
      </c>
      <c r="D1" s="17" t="s">
        <v>13</v>
      </c>
      <c r="E1" s="17" t="s">
        <v>33</v>
      </c>
      <c r="F1" s="17" t="s">
        <v>34</v>
      </c>
      <c r="G1" s="17" t="s">
        <v>35</v>
      </c>
      <c r="H1" s="17" t="s">
        <v>36</v>
      </c>
      <c r="I1" s="27" t="s">
        <v>37</v>
      </c>
      <c r="J1" s="17" t="s">
        <v>38</v>
      </c>
      <c r="K1" s="27" t="s">
        <v>39</v>
      </c>
      <c r="L1" s="17" t="s">
        <v>40</v>
      </c>
      <c r="M1" s="10"/>
    </row>
    <row r="2" spans="1:13" x14ac:dyDescent="0.2">
      <c r="A2" s="10"/>
      <c r="B2" s="40">
        <v>50</v>
      </c>
      <c r="C2" s="41">
        <v>48.06</v>
      </c>
      <c r="D2" s="46">
        <v>0.215</v>
      </c>
      <c r="E2" s="13">
        <v>0.25</v>
      </c>
      <c r="F2" s="13">
        <v>0.3</v>
      </c>
      <c r="G2" s="43">
        <v>1608</v>
      </c>
      <c r="H2" s="5" t="s">
        <v>41</v>
      </c>
      <c r="I2" s="42">
        <f>IF(H2="USD",C2*(1-F2)/(1+D2)*G2,B2*(1-F2)/(1+D2)*G2)</f>
        <v>46320.987654320983</v>
      </c>
      <c r="J2" s="42">
        <f>IF(H2="USD",C2*(1-E2)/(1+D2)*G2,B2*(1-E2)/(1+D2)*G2)</f>
        <v>49629.629629629628</v>
      </c>
      <c r="K2" s="42">
        <f>I2/12</f>
        <v>3860.0823045267484</v>
      </c>
      <c r="L2" s="42">
        <f>J2/12</f>
        <v>4135.8024691358023</v>
      </c>
      <c r="M2" s="10"/>
    </row>
    <row r="3" spans="1:13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pans="1:13" x14ac:dyDescent="0.2">
      <c r="H4" t="s">
        <v>41</v>
      </c>
    </row>
    <row r="5" spans="1:13" x14ac:dyDescent="0.2">
      <c r="H5" t="s">
        <v>64</v>
      </c>
    </row>
  </sheetData>
  <dataValidations count="1">
    <dataValidation type="list" allowBlank="1" showInputMessage="1" showErrorMessage="1" sqref="H2" xr:uid="{9D1942C9-0689-5843-B202-88D12F59A6AF}">
      <formula1>$H$4:$H$5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zoomScale="130" zoomScaleNormal="130" workbookViewId="0">
      <selection activeCell="B6" sqref="B6"/>
    </sheetView>
  </sheetViews>
  <sheetFormatPr baseColWidth="10" defaultColWidth="11.5" defaultRowHeight="15" x14ac:dyDescent="0.2"/>
  <cols>
    <col min="1" max="1" width="30.5" customWidth="1"/>
    <col min="2" max="2" width="15.1640625" bestFit="1" customWidth="1"/>
    <col min="3" max="3" width="16.5" customWidth="1"/>
    <col min="4" max="4" width="16" customWidth="1"/>
    <col min="5" max="5" width="14.5" customWidth="1"/>
    <col min="6" max="6" width="15.5" customWidth="1"/>
  </cols>
  <sheetData>
    <row r="1" spans="1:10" ht="48" x14ac:dyDescent="0.2">
      <c r="A1" s="14" t="s">
        <v>11</v>
      </c>
      <c r="B1" s="16" t="s">
        <v>12</v>
      </c>
      <c r="C1" s="17" t="s">
        <v>13</v>
      </c>
      <c r="D1" s="17" t="s">
        <v>14</v>
      </c>
      <c r="E1" s="16" t="s">
        <v>15</v>
      </c>
      <c r="F1" s="17" t="s">
        <v>35</v>
      </c>
      <c r="G1" s="10"/>
      <c r="H1" s="10"/>
      <c r="I1" s="10"/>
      <c r="J1" s="10"/>
    </row>
    <row r="2" spans="1:10" x14ac:dyDescent="0.2">
      <c r="A2" s="10"/>
      <c r="B2" s="1"/>
      <c r="C2" s="44">
        <v>0.215</v>
      </c>
      <c r="D2" s="13">
        <v>0.06</v>
      </c>
      <c r="E2" s="13">
        <v>0.25</v>
      </c>
      <c r="F2" s="43">
        <v>1608</v>
      </c>
      <c r="G2" s="10"/>
      <c r="H2" s="10"/>
      <c r="I2" s="10"/>
      <c r="J2" s="10"/>
    </row>
    <row r="3" spans="1:10" x14ac:dyDescent="0.2">
      <c r="A3" s="15" t="s">
        <v>42</v>
      </c>
      <c r="B3" s="11">
        <v>65000</v>
      </c>
      <c r="C3" s="8">
        <f>B3*(1+$C$2)</f>
        <v>78975</v>
      </c>
      <c r="D3" s="9">
        <f>C3*(1+$D$2)</f>
        <v>83713.5</v>
      </c>
      <c r="E3" s="9">
        <f>D3/(1-$E$2)</f>
        <v>111618</v>
      </c>
      <c r="F3" s="25">
        <f>ROUND(E3/$F$2,2)</f>
        <v>69.41</v>
      </c>
      <c r="G3" s="10"/>
      <c r="H3" s="10"/>
      <c r="I3" s="10"/>
      <c r="J3" s="10"/>
    </row>
    <row r="4" spans="1:10" x14ac:dyDescent="0.2">
      <c r="A4" s="15" t="s">
        <v>43</v>
      </c>
      <c r="B4" s="11">
        <v>60000</v>
      </c>
      <c r="C4" s="8">
        <f t="shared" ref="C4:C5" si="0">B4*(1+$C$2)</f>
        <v>72900</v>
      </c>
      <c r="D4" s="9">
        <f t="shared" ref="D4:D5" si="1">C4*(1+$D$2)</f>
        <v>77274</v>
      </c>
      <c r="E4" s="9">
        <f t="shared" ref="E4:E5" si="2">D4/(1-$E$2)</f>
        <v>103032</v>
      </c>
      <c r="F4" s="25">
        <f t="shared" ref="F4:F5" si="3">ROUND(E4/$F$2,2)</f>
        <v>64.069999999999993</v>
      </c>
      <c r="G4" s="10"/>
      <c r="H4" s="10"/>
      <c r="I4" s="10"/>
      <c r="J4" s="10"/>
    </row>
    <row r="5" spans="1:10" x14ac:dyDescent="0.2">
      <c r="A5" s="15" t="s">
        <v>44</v>
      </c>
      <c r="B5" s="11">
        <v>50000</v>
      </c>
      <c r="C5" s="8">
        <f t="shared" si="0"/>
        <v>60750.000000000007</v>
      </c>
      <c r="D5" s="9">
        <f t="shared" si="1"/>
        <v>64395.000000000015</v>
      </c>
      <c r="E5" s="9">
        <f t="shared" si="2"/>
        <v>85860.000000000015</v>
      </c>
      <c r="F5" s="25">
        <f t="shared" si="3"/>
        <v>53.4</v>
      </c>
      <c r="G5" s="10"/>
      <c r="H5" s="10"/>
      <c r="I5" s="10"/>
      <c r="J5" s="10"/>
    </row>
    <row r="6" spans="1:10" x14ac:dyDescent="0.2">
      <c r="A6" s="15" t="s">
        <v>45</v>
      </c>
      <c r="B6" s="10"/>
      <c r="C6" s="61"/>
      <c r="D6" s="10"/>
      <c r="E6" s="10"/>
      <c r="F6" s="11">
        <v>27</v>
      </c>
      <c r="G6" s="10"/>
      <c r="H6" s="10"/>
      <c r="I6" s="10"/>
      <c r="J6" s="10"/>
    </row>
    <row r="7" spans="1:10" x14ac:dyDescent="0.2">
      <c r="A7" s="15" t="s">
        <v>46</v>
      </c>
      <c r="B7" s="53">
        <v>100000</v>
      </c>
      <c r="C7" s="61"/>
      <c r="D7" s="10"/>
      <c r="E7" s="10"/>
      <c r="F7" s="10"/>
      <c r="G7" s="10"/>
      <c r="H7" s="10"/>
      <c r="I7" s="10"/>
      <c r="J7" s="10"/>
    </row>
    <row r="8" spans="1:10" x14ac:dyDescent="0.2">
      <c r="A8" s="15" t="s">
        <v>47</v>
      </c>
      <c r="B8" s="19">
        <v>2.5000000000000001E-2</v>
      </c>
      <c r="C8" s="10"/>
      <c r="D8" s="10"/>
      <c r="E8" s="10"/>
      <c r="F8" s="10"/>
      <c r="G8" s="10"/>
      <c r="H8" s="10"/>
      <c r="I8" s="10"/>
      <c r="J8" s="10"/>
    </row>
    <row r="9" spans="1:10" x14ac:dyDescent="0.2">
      <c r="A9" s="15" t="s">
        <v>48</v>
      </c>
      <c r="B9" s="18">
        <v>8</v>
      </c>
      <c r="C9" s="10"/>
      <c r="D9" s="10"/>
      <c r="E9" s="10"/>
      <c r="F9" s="10"/>
      <c r="G9" s="10"/>
      <c r="H9" s="10"/>
      <c r="I9" s="10"/>
      <c r="J9" s="10"/>
    </row>
    <row r="10" spans="1:10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spans="1:10" x14ac:dyDescent="0.2">
      <c r="A11" s="15" t="s">
        <v>49</v>
      </c>
      <c r="B11" s="21">
        <v>1</v>
      </c>
      <c r="C11" s="21">
        <v>2</v>
      </c>
      <c r="D11" s="21">
        <v>3</v>
      </c>
      <c r="E11" s="21">
        <v>4</v>
      </c>
      <c r="F11" s="21">
        <v>5</v>
      </c>
      <c r="G11" s="21">
        <v>6</v>
      </c>
      <c r="H11" s="21">
        <v>7</v>
      </c>
      <c r="I11" s="21">
        <v>8</v>
      </c>
      <c r="J11" s="10"/>
    </row>
    <row r="12" spans="1:10" x14ac:dyDescent="0.2">
      <c r="A12" s="15" t="s">
        <v>49</v>
      </c>
      <c r="B12" s="37">
        <v>2023</v>
      </c>
      <c r="C12" s="22">
        <f>B12+1</f>
        <v>2024</v>
      </c>
      <c r="D12" s="22">
        <f t="shared" ref="D12:I12" si="4">C12+1</f>
        <v>2025</v>
      </c>
      <c r="E12" s="22">
        <f t="shared" si="4"/>
        <v>2026</v>
      </c>
      <c r="F12" s="22">
        <f t="shared" si="4"/>
        <v>2027</v>
      </c>
      <c r="G12" s="22">
        <f t="shared" si="4"/>
        <v>2028</v>
      </c>
      <c r="H12" s="22">
        <f t="shared" si="4"/>
        <v>2029</v>
      </c>
      <c r="I12" s="22">
        <f t="shared" si="4"/>
        <v>2030</v>
      </c>
      <c r="J12" s="10"/>
    </row>
    <row r="13" spans="1:10" x14ac:dyDescent="0.2">
      <c r="A13" s="15" t="s">
        <v>50</v>
      </c>
      <c r="B13" s="5">
        <v>1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10"/>
    </row>
    <row r="14" spans="1:10" x14ac:dyDescent="0.2">
      <c r="A14" s="15" t="s">
        <v>51</v>
      </c>
      <c r="B14" s="5">
        <v>3</v>
      </c>
      <c r="C14" s="5">
        <v>3</v>
      </c>
      <c r="D14" s="5">
        <v>3</v>
      </c>
      <c r="E14" s="5">
        <v>3</v>
      </c>
      <c r="F14" s="5">
        <v>3</v>
      </c>
      <c r="G14" s="5">
        <v>3</v>
      </c>
      <c r="H14" s="5">
        <v>3</v>
      </c>
      <c r="I14" s="5">
        <v>3</v>
      </c>
      <c r="J14" s="10"/>
    </row>
    <row r="15" spans="1:10" x14ac:dyDescent="0.2">
      <c r="A15" s="15" t="s">
        <v>52</v>
      </c>
      <c r="B15" s="5">
        <v>15</v>
      </c>
      <c r="C15" s="5">
        <v>15</v>
      </c>
      <c r="D15" s="5">
        <v>10</v>
      </c>
      <c r="E15" s="5">
        <v>8</v>
      </c>
      <c r="F15" s="5">
        <v>5</v>
      </c>
      <c r="G15" s="5">
        <v>5</v>
      </c>
      <c r="H15" s="5">
        <v>5</v>
      </c>
      <c r="I15" s="5">
        <v>0</v>
      </c>
      <c r="J15" s="10"/>
    </row>
    <row r="16" spans="1:10" ht="16" thickBot="1" x14ac:dyDescent="0.25">
      <c r="A16" s="20" t="s">
        <v>53</v>
      </c>
      <c r="B16" s="6">
        <v>5</v>
      </c>
      <c r="C16" s="6">
        <v>5</v>
      </c>
      <c r="D16" s="6">
        <v>10</v>
      </c>
      <c r="E16" s="6">
        <v>12</v>
      </c>
      <c r="F16" s="6">
        <v>15</v>
      </c>
      <c r="G16" s="6">
        <v>15</v>
      </c>
      <c r="H16" s="6">
        <v>15</v>
      </c>
      <c r="I16" s="6">
        <v>20</v>
      </c>
      <c r="J16" s="10"/>
    </row>
    <row r="17" spans="1:10" ht="16" thickTop="1" x14ac:dyDescent="0.2">
      <c r="A17" s="15" t="s">
        <v>54</v>
      </c>
      <c r="B17" s="26">
        <f>SUM(B13:B16)</f>
        <v>24</v>
      </c>
      <c r="C17" s="26">
        <f t="shared" ref="C17:I17" si="5">SUM(C13:C16)</f>
        <v>24</v>
      </c>
      <c r="D17" s="26">
        <f t="shared" si="5"/>
        <v>24</v>
      </c>
      <c r="E17" s="26">
        <f t="shared" si="5"/>
        <v>24</v>
      </c>
      <c r="F17" s="26">
        <f t="shared" si="5"/>
        <v>24</v>
      </c>
      <c r="G17" s="26">
        <f t="shared" si="5"/>
        <v>24</v>
      </c>
      <c r="H17" s="26">
        <f t="shared" si="5"/>
        <v>24</v>
      </c>
      <c r="I17" s="26">
        <f t="shared" si="5"/>
        <v>24</v>
      </c>
      <c r="J17" s="10"/>
    </row>
    <row r="18" spans="1:10" ht="16" thickBot="1" x14ac:dyDescent="0.25">
      <c r="A18" s="20" t="s">
        <v>55</v>
      </c>
      <c r="B18" s="24">
        <f t="shared" ref="B18:I18" si="6">(B13*$F$3+B14*$F$4+B15*$F$5+B16*$F$6)/B17</f>
        <v>49.900833333333331</v>
      </c>
      <c r="C18" s="24">
        <f t="shared" si="6"/>
        <v>49.900833333333331</v>
      </c>
      <c r="D18" s="24">
        <f t="shared" si="6"/>
        <v>44.400833333333331</v>
      </c>
      <c r="E18" s="24">
        <f t="shared" si="6"/>
        <v>42.200833333333328</v>
      </c>
      <c r="F18" s="24">
        <f t="shared" si="6"/>
        <v>38.900833333333331</v>
      </c>
      <c r="G18" s="24">
        <f t="shared" si="6"/>
        <v>38.900833333333331</v>
      </c>
      <c r="H18" s="24">
        <f t="shared" si="6"/>
        <v>38.900833333333331</v>
      </c>
      <c r="I18" s="24">
        <f t="shared" si="6"/>
        <v>33.400833333333331</v>
      </c>
      <c r="J18" s="10"/>
    </row>
    <row r="19" spans="1:10" ht="16" thickTop="1" x14ac:dyDescent="0.2">
      <c r="A19" s="15" t="s">
        <v>56</v>
      </c>
      <c r="B19" s="23">
        <v>0</v>
      </c>
      <c r="C19" s="23">
        <f>B19+$B$8</f>
        <v>2.5000000000000001E-2</v>
      </c>
      <c r="D19" s="23">
        <f t="shared" ref="D19:I19" si="7">C19+$B$8</f>
        <v>0.05</v>
      </c>
      <c r="E19" s="23">
        <f t="shared" si="7"/>
        <v>7.5000000000000011E-2</v>
      </c>
      <c r="F19" s="23">
        <f t="shared" si="7"/>
        <v>0.1</v>
      </c>
      <c r="G19" s="23">
        <f t="shared" si="7"/>
        <v>0.125</v>
      </c>
      <c r="H19" s="23">
        <f t="shared" si="7"/>
        <v>0.15</v>
      </c>
      <c r="I19" s="23">
        <f t="shared" si="7"/>
        <v>0.17499999999999999</v>
      </c>
      <c r="J19" s="10"/>
    </row>
    <row r="20" spans="1:10" ht="16" thickBot="1" x14ac:dyDescent="0.25">
      <c r="A20" s="20" t="s">
        <v>57</v>
      </c>
      <c r="B20" s="24">
        <f t="shared" ref="B20:I20" si="8">ROUND(B18*(1+B19),2)</f>
        <v>49.9</v>
      </c>
      <c r="C20" s="24">
        <f t="shared" si="8"/>
        <v>51.15</v>
      </c>
      <c r="D20" s="24">
        <f t="shared" si="8"/>
        <v>46.62</v>
      </c>
      <c r="E20" s="24">
        <f t="shared" si="8"/>
        <v>45.37</v>
      </c>
      <c r="F20" s="24">
        <f t="shared" si="8"/>
        <v>42.79</v>
      </c>
      <c r="G20" s="24">
        <f t="shared" si="8"/>
        <v>43.76</v>
      </c>
      <c r="H20" s="24">
        <f t="shared" si="8"/>
        <v>44.74</v>
      </c>
      <c r="I20" s="24">
        <f t="shared" si="8"/>
        <v>39.25</v>
      </c>
      <c r="J20" s="10"/>
    </row>
    <row r="21" spans="1:10" ht="16" thickTop="1" x14ac:dyDescent="0.2">
      <c r="A21" s="15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">
      <c r="A22" s="15" t="s">
        <v>58</v>
      </c>
      <c r="B22" s="2">
        <f>AVERAGE(B20:I20)</f>
        <v>45.447499999999998</v>
      </c>
      <c r="C22" s="10"/>
      <c r="D22" s="10"/>
      <c r="E22" s="10"/>
      <c r="F22" s="10"/>
      <c r="G22" s="10"/>
      <c r="H22" s="10"/>
      <c r="I22" s="10"/>
      <c r="J22" s="10"/>
    </row>
    <row r="23" spans="1:10" x14ac:dyDescent="0.2">
      <c r="A23" s="15" t="s">
        <v>59</v>
      </c>
      <c r="B23" s="3">
        <f>B7*B22</f>
        <v>4544750</v>
      </c>
      <c r="C23" s="10"/>
      <c r="D23" s="10"/>
      <c r="E23" s="10"/>
      <c r="F23" s="10"/>
      <c r="G23" s="10"/>
      <c r="H23" s="10"/>
      <c r="I23" s="10"/>
      <c r="J23" s="10"/>
    </row>
    <row r="24" spans="1:10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2">
      <c r="A25" s="15" t="s">
        <v>60</v>
      </c>
      <c r="B25" s="21">
        <v>1</v>
      </c>
      <c r="C25" s="21">
        <v>2</v>
      </c>
      <c r="D25" s="21">
        <v>3</v>
      </c>
      <c r="E25" s="21">
        <v>4</v>
      </c>
      <c r="F25" s="10"/>
      <c r="G25" s="10"/>
      <c r="H25" s="10"/>
      <c r="I25" s="10"/>
      <c r="J25" s="10"/>
    </row>
    <row r="26" spans="1:10" x14ac:dyDescent="0.2">
      <c r="A26" s="15" t="s">
        <v>61</v>
      </c>
      <c r="B26" s="30"/>
      <c r="C26" s="30"/>
      <c r="D26" s="30"/>
      <c r="E26" s="30"/>
      <c r="F26" s="10"/>
      <c r="G26" s="10"/>
      <c r="H26" s="10"/>
      <c r="I26" s="10"/>
      <c r="J26" s="10"/>
    </row>
    <row r="27" spans="1:10" ht="16" thickBot="1" x14ac:dyDescent="0.25">
      <c r="A27" s="15" t="s">
        <v>62</v>
      </c>
      <c r="B27" s="4">
        <v>100000</v>
      </c>
      <c r="C27" s="4">
        <v>100000</v>
      </c>
      <c r="D27" s="4">
        <v>100000</v>
      </c>
      <c r="E27" s="4">
        <v>100000</v>
      </c>
      <c r="F27" s="10"/>
      <c r="G27" s="10"/>
      <c r="H27" s="10"/>
      <c r="I27" s="10"/>
      <c r="J27" s="10"/>
    </row>
    <row r="28" spans="1:10" ht="16" thickTop="1" x14ac:dyDescent="0.2">
      <c r="A28" s="15" t="s">
        <v>63</v>
      </c>
      <c r="B28" s="29">
        <f>1-$B$23/B27</f>
        <v>-44.447499999999998</v>
      </c>
      <c r="C28" s="29">
        <f t="shared" ref="C28:E28" si="9">1-$B$23/C27</f>
        <v>-44.447499999999998</v>
      </c>
      <c r="D28" s="29">
        <f t="shared" si="9"/>
        <v>-44.447499999999998</v>
      </c>
      <c r="E28" s="29">
        <f t="shared" si="9"/>
        <v>-44.447499999999998</v>
      </c>
      <c r="F28" s="10"/>
      <c r="G28" s="10"/>
      <c r="H28" s="10"/>
      <c r="I28" s="10"/>
      <c r="J28" s="10"/>
    </row>
    <row r="29" spans="1:10" x14ac:dyDescent="0.2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2">
      <c r="B30" s="10"/>
      <c r="C30" s="10"/>
      <c r="D30" s="10"/>
      <c r="E30" s="10"/>
      <c r="F30" s="10"/>
      <c r="G30" s="10"/>
      <c r="H30" s="10"/>
      <c r="I30" s="10"/>
      <c r="J30" s="10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4B01869717134AACF439BAE8707806" ma:contentTypeVersion="10" ma:contentTypeDescription="Create a new document." ma:contentTypeScope="" ma:versionID="e13b2f8311edcd02d2a0b769b5356336">
  <xsd:schema xmlns:xsd="http://www.w3.org/2001/XMLSchema" xmlns:xs="http://www.w3.org/2001/XMLSchema" xmlns:p="http://schemas.microsoft.com/office/2006/metadata/properties" xmlns:ns2="ef597293-6a22-45b6-bd04-e78328403b30" xmlns:ns3="229e4bfc-8a73-4479-805e-127de7797ddd" targetNamespace="http://schemas.microsoft.com/office/2006/metadata/properties" ma:root="true" ma:fieldsID="04751c338ac8893502624825997fc8e6" ns2:_="" ns3:_="">
    <xsd:import namespace="ef597293-6a22-45b6-bd04-e78328403b30"/>
    <xsd:import namespace="229e4bfc-8a73-4479-805e-127de7797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97293-6a22-45b6-bd04-e78328403b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e4bfc-8a73-4479-805e-127de7797dd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56CD8C-9368-4652-B730-7498C321F5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597293-6a22-45b6-bd04-e78328403b30"/>
    <ds:schemaRef ds:uri="229e4bfc-8a73-4479-805e-127de7797d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5020FC-A294-44F2-AE2B-7F8948E683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AA22B9-2FB8-4041-99C2-C3009A8E9BCB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3aa23a4-6ee1-4601-8592-31a762489359}" enabled="0" method="" siteId="{93aa23a4-6ee1-4601-8592-31a7624893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hrs calc</vt:lpstr>
      <vt:lpstr>Salary--&gt;Bill Rate</vt:lpstr>
      <vt:lpstr>Salary--&gt;CM%</vt:lpstr>
      <vt:lpstr>Bill-Rate--&gt;Salary</vt:lpstr>
      <vt:lpstr>Work Package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Fischer, Josef</dc:creator>
  <cp:keywords/>
  <dc:description/>
  <cp:lastModifiedBy>Josef Fischer</cp:lastModifiedBy>
  <cp:revision/>
  <dcterms:created xsi:type="dcterms:W3CDTF">2021-11-30T10:07:19Z</dcterms:created>
  <dcterms:modified xsi:type="dcterms:W3CDTF">2026-05-08T10:34:54Z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0x0101009A4B01869717134AACF439BAE8707806</vt:lpwstr>
  </property>
</Properties>
</file>